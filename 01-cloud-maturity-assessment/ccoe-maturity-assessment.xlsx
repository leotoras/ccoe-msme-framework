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essment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<sst xmlns="http://schemas.openxmlformats.org/spreadsheetml/2006/main" count="129" uniqueCount="121">
  <si>
    <t xml:space="preserve">Cloud Governance Maturity Assessment</t>
  </si>
  <si>
    <t xml:space="preserve">MSME Cloud Governance Framework — Component 1</t>
  </si>
  <si>
    <t xml:space="preserve">HOW TO USE THIS WORKBOOK</t>
  </si>
  <si>
    <t xml:space="preserve">1.  Go to the 'Assessment' tab. Score each of the 25 indicators from 0 to 4 using the rubric below. Enter your scores only in the shaded Score column — every other cell is calculated.</t>
  </si>
  <si>
    <t xml:space="preserve">2.  If an indicator genuinely does not apply to your organization, type NA instead of a number. It will be excluded from the average rather than counted as zero. Use this sparingly.</t>
  </si>
  <si>
    <t xml:space="preserve">3.  Your domain scores, overall score, and maturity tier appear on the 'Results' tab automatically.</t>
  </si>
  <si>
    <t xml:space="preserve">4.  Record the date and the overall score. The number is only meaningful as a series — re-assess after 90 days and compare.</t>
  </si>
  <si>
    <t xml:space="preserve">SCORING RUBRIC</t>
  </si>
  <si>
    <t xml:space="preserve">Rubric</t>
  </si>
  <si>
    <t xml:space="preserve">0  —  Absent:  The practice does not exist. No one performs it and no artifact describes it. Intent to implement scores 0.</t>
  </si>
  <si>
    <t xml:space="preserve">1  —  Ad hoc:  Happens sometimes, driven by individuals rather than process. Not written down, not consistent, would not survive the departure of the person who does it.</t>
  </si>
  <si>
    <t xml:space="preserve">2  —  Defined:  Documented and owned. Execution is still largely manual and compliance is not verified — but a new hire could find the document and follow it.</t>
  </si>
  <si>
    <t xml:space="preserve">3  —  Managed:  Documented, owned, consistently executed, AND verified. Deviations are detected. There is evidence the control actually operated.</t>
  </si>
  <si>
    <t xml:space="preserve">4  —  Optimized:  As Managed, plus enforced automatically where technically possible and reviewed on a defined cadence, with findings driving change.</t>
  </si>
  <si>
    <t xml:space="preserve">The 2 → 3 boundary is where organizations most often over-score themselves. The difference is verification. If you cannot produce evidence that the control operated last month, it is a 2.</t>
  </si>
  <si>
    <t xml:space="preserve">Score what is true, not what is intended. An inflated first score makes every later re-measurement look like regression.</t>
  </si>
  <si>
    <t xml:space="preserve">MATURITY TIERS</t>
  </si>
  <si>
    <t xml:space="preserve">0.00 – 0.99   Ad Hoc:  Cloud operated without governance. Outcomes depend on individuals. Common SME starting point.</t>
  </si>
  <si>
    <t xml:space="preserve">1.00 – 1.99   Emerging:  Practices exist but are inconsistent and undocumented. Vulnerable to staff turnover.</t>
  </si>
  <si>
    <t xml:space="preserve">2.00 – 2.99   Defined:  Documented and owned. Main gap is verification — you can describe controls but not prove they operated.</t>
  </si>
  <si>
    <t xml:space="preserve">3.00 – 3.49   Managed:  Controls operate and are verified. Genuine governance.</t>
  </si>
  <si>
    <t xml:space="preserve">3.50 – 4.00   Optimized:  Enforced automatically and reviewed on cadence. Non-compliance prevented, not detected.</t>
  </si>
  <si>
    <t xml:space="preserve">License: MIT. Free to use, adapt, and distribute. See repository LICENSE.</t>
  </si>
  <si>
    <t xml:space="preserve">Assessment — enter scores in the shaded Score column (0–4, or NA)</t>
  </si>
  <si>
    <t xml:space="preserve">#</t>
  </si>
  <si>
    <t xml:space="preserve">Indicator</t>
  </si>
  <si>
    <t xml:space="preserve">What a score of 3 looks like</t>
  </si>
  <si>
    <t xml:space="preserve">Score</t>
  </si>
  <si>
    <t xml:space="preserve">Notes / evidence</t>
  </si>
  <si>
    <t xml:space="preserve">Domain 1 — Governance and Accountability</t>
  </si>
  <si>
    <t xml:space="preserve">1.1</t>
  </si>
  <si>
    <t xml:space="preserve">Named ownership</t>
  </si>
  <si>
    <t xml:space="preserve">A specific person or role is accountable for cloud governance decisions; the role is documented, the person knows they hold it, and decisions escalate to them in practice.</t>
  </si>
  <si>
    <t xml:space="preserve">1.2</t>
  </si>
  <si>
    <t xml:space="preserve">Account / subscription inventory</t>
  </si>
  <si>
    <t xml:space="preserve">A current authoritative record of every cloud account exists, is reconciled against the billing console on a cadence, and discrepancies are investigated.</t>
  </si>
  <si>
    <t xml:space="preserve">1.3</t>
  </si>
  <si>
    <t xml:space="preserve">Provisioning process</t>
  </si>
  <si>
    <t xml:space="preserve">New resources are created through a defined path; requests are recorded, approved by the accountable owner, and provisioned consistently.</t>
  </si>
  <si>
    <t xml:space="preserve">1.4</t>
  </si>
  <si>
    <t xml:space="preserve">Written architectural standards</t>
  </si>
  <si>
    <t xml:space="preserve">Documented build/deploy standards exist, are referenced in design decisions, and deviations are raised rather than silently absorbed.</t>
  </si>
  <si>
    <t xml:space="preserve">1.5</t>
  </si>
  <si>
    <t xml:space="preserve">Governance review cadence</t>
  </si>
  <si>
    <t xml:space="preserve">Cloud posture is reviewed on schedule by the accountable owner; reviews produce findings and findings are tracked to closure.</t>
  </si>
  <si>
    <t xml:space="preserve">Domain 2 — Security Baseline</t>
  </si>
  <si>
    <t xml:space="preserve">2.1</t>
  </si>
  <si>
    <t xml:space="preserve">Audit logging enabled</t>
  </si>
  <si>
    <t xml:space="preserve">API and management-plane activity is logged across all accounts and regions, log integrity is protected, and someone would notice if it stopped.</t>
  </si>
  <si>
    <t xml:space="preserve">2.2</t>
  </si>
  <si>
    <t xml:space="preserve">Configuration recording</t>
  </si>
  <si>
    <t xml:space="preserve">Resource configuration changes are recorded and retained; change history is queryable and used during incident review.</t>
  </si>
  <si>
    <t xml:space="preserve">2.3</t>
  </si>
  <si>
    <t xml:space="preserve">Identity hardening</t>
  </si>
  <si>
    <t xml:space="preserve">MFA is enforced for privileged access; root / global-admin credentials are protected, not used routinely, and root usage generates an alert.</t>
  </si>
  <si>
    <t xml:space="preserve">2.4</t>
  </si>
  <si>
    <t xml:space="preserve">Least privilege</t>
  </si>
  <si>
    <t xml:space="preserve">Access is granted by role and scoped to need rather than broad standing admin rights; permissions are reviewed periodically and excess access removed.</t>
  </si>
  <si>
    <t xml:space="preserve">2.5</t>
  </si>
  <si>
    <t xml:space="preserve">Storage exposure controls</t>
  </si>
  <si>
    <t xml:space="preserve">Object storage and databases are protected against unintentional public exposure; public access is blocked at account level and exceptions are explicit.</t>
  </si>
  <si>
    <t xml:space="preserve">Domain 3 — Cost Accountability</t>
  </si>
  <si>
    <t xml:space="preserve">3.1</t>
  </si>
  <si>
    <t xml:space="preserve">Spend visibility</t>
  </si>
  <si>
    <t xml:space="preserve">Current and historical spend is visible to the accountable owner, who reviews it on a cadence and can explain material changes.</t>
  </si>
  <si>
    <t xml:space="preserve">3.2</t>
  </si>
  <si>
    <t xml:space="preserve">Resource attribution</t>
  </si>
  <si>
    <t xml:space="preserve">Costs can be attributed to a team, product, environment, or customer via a consistent tagging or account-separation scheme whose coverage is measured.</t>
  </si>
  <si>
    <t xml:space="preserve">3.3</t>
  </si>
  <si>
    <t xml:space="preserve">Budget and alerting</t>
  </si>
  <si>
    <t xml:space="preserve">Budgets are set and deviations notify a named owner who investigates — not just an email into a shared inbox.</t>
  </si>
  <si>
    <t xml:space="preserve">3.4</t>
  </si>
  <si>
    <t xml:space="preserve">Waste identification</t>
  </si>
  <si>
    <t xml:space="preserve">Idle, orphaned, and oversized resources are identified on a recurring schedule and remediation is tracked.</t>
  </si>
  <si>
    <t xml:space="preserve">3.5</t>
  </si>
  <si>
    <t xml:space="preserve">Commitment / rate optimization</t>
  </si>
  <si>
    <t xml:space="preserve">Reserved capacity, savings plans, or committed-use discounts are evaluated against actual usage and reviewed as usage changes.</t>
  </si>
  <si>
    <t xml:space="preserve">Domain 4 — Resilience and Recovery</t>
  </si>
  <si>
    <t xml:space="preserve">4.1</t>
  </si>
  <si>
    <t xml:space="preserve">Backup coverage</t>
  </si>
  <si>
    <t xml:space="preserve">Critical data and systems are backed up on a defined schedule; coverage is verified against an inventory and gaps are known in advance.</t>
  </si>
  <si>
    <t xml:space="preserve">4.2</t>
  </si>
  <si>
    <t xml:space="preserve">Restoration testing</t>
  </si>
  <si>
    <t xml:space="preserve">Backups have been deliberately restored as a test, on a defined cadence, with results recorded.</t>
  </si>
  <si>
    <t xml:space="preserve">4.3</t>
  </si>
  <si>
    <t xml:space="preserve">Documented recovery objectives</t>
  </si>
  <si>
    <t xml:space="preserve">RTO and RPO are defined for critical systems, agreed with the business, and realistic against tested restore times.</t>
  </si>
  <si>
    <t xml:space="preserve">4.4</t>
  </si>
  <si>
    <t xml:space="preserve">Recovery runbook</t>
  </si>
  <si>
    <t xml:space="preserve">A current documented recovery procedure exists that someone other than its author could follow.</t>
  </si>
  <si>
    <t xml:space="preserve">4.5</t>
  </si>
  <si>
    <t xml:space="preserve">Resilience architecture</t>
  </si>
  <si>
    <t xml:space="preserve">Critical workloads are designed against single points of failure appropriate to their stated objectives.</t>
  </si>
  <si>
    <t xml:space="preserve">Domain 5 — Workforce Capability</t>
  </si>
  <si>
    <t xml:space="preserve">5.1</t>
  </si>
  <si>
    <t xml:space="preserve">Defined responsibilities</t>
  </si>
  <si>
    <t xml:space="preserve">Cloud operational responsibilities are documented, assigned, current, and cover the work that actually exists.</t>
  </si>
  <si>
    <t xml:space="preserve">5.2</t>
  </si>
  <si>
    <t xml:space="preserve">Onboarding material</t>
  </si>
  <si>
    <t xml:space="preserve">New staff receive documented material on cloud standards; the material is current and completion is recorded.</t>
  </si>
  <si>
    <t xml:space="preserve">5.3</t>
  </si>
  <si>
    <t xml:space="preserve">Bus-factor mitigation</t>
  </si>
  <si>
    <t xml:space="preserve">At least two people can demonstrably perform each critical operational task.</t>
  </si>
  <si>
    <t xml:space="preserve">5.4</t>
  </si>
  <si>
    <t xml:space="preserve">Security awareness</t>
  </si>
  <si>
    <t xml:space="preserve">Staff with cloud access receive recurring, tracked security guidance relevant to their access — not one-time at hire.</t>
  </si>
  <si>
    <t xml:space="preserve">5.5</t>
  </si>
  <si>
    <t xml:space="preserve">Skills development</t>
  </si>
  <si>
    <t xml:space="preserve">Cloud capability development is planned, funded, and reviewed rather than incidental.</t>
  </si>
  <si>
    <t xml:space="preserve">Example — how to fill this in:</t>
  </si>
  <si>
    <t xml:space="preserve">We have an IT lead who makes cloud decisions, but it isn't written down anywhere and nobody else knows it's formally his call.</t>
  </si>
  <si>
    <t xml:space="preserve">Ad hoc — real but undocumented</t>
  </si>
  <si>
    <t xml:space="preserve">Assessment Results</t>
  </si>
  <si>
    <t xml:space="preserve">Organization:</t>
  </si>
  <si>
    <t xml:space="preserve">Assessment date:</t>
  </si>
  <si>
    <t xml:space="preserve">Domain</t>
  </si>
  <si>
    <t xml:space="preserve">Interpretation</t>
  </si>
  <si>
    <t xml:space="preserve">OVERALL MATURITY SCORE</t>
  </si>
  <si>
    <t xml:space="preserve">Lowest-scoring domain (remediate here first):</t>
  </si>
  <si>
    <t xml:space="preserve">Domains are weighted equally by design: an organization with excellent security and no cost accountability is not "mostly fine," and averaging indicators rather than domains would let a strong domain mask an absent one.</t>
  </si>
  <si>
    <t xml:space="preserve">A first-time score between 0.5 and 1.5 is normal for an SME that grew into cloud rather than planning for it. It is not a failing grade — it is the number you improve against. Re-assess after 90 days.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</si>
</sst>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2E5395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02A2A"/>
      </font>
    </dxf>
    <dxf>
      <font>
        <name val="Arial"/>
        <charset val="1"/>
        <family val="0"/>
        <b val="1"/>
        <color rgb="FFB8860B"/>
      </font>
    </dxf>
    <dxf>
      <font>
        <name val="Arial"/>
        <charset val="1"/>
        <family val="0"/>
        <b val="1"/>
        <color rgb="FF2E7D32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2E7D32"/>
      <rgbColor rgb="FF003300"/>
      <rgbColor rgb="FF333300"/>
      <rgbColor rgb="FFB02A2A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23.85" hidden="false" customHeight="false" outlineLevel="0" collapsed="false">
      <c r="B7" s="4" t="s">
        <v>3</v>
      </c>
    </row>
    <row r="9" customFormat="false" ht="23.85" hidden="false" customHeight="false" outlineLevel="0" collapsed="false">
      <c r="B9" s="4" t="s">
        <v>4</v>
      </c>
    </row>
    <row r="11" customFormat="false" ht="15" hidden="false" customHeight="false" outlineLevel="0" collapsed="false">
      <c r="B11" s="4" t="s">
        <v>5</v>
      </c>
    </row>
    <row r="13" customFormat="false" ht="15" hidden="false" customHeight="false" outlineLevel="0" collapsed="false">
      <c r="B13" s="4" t="s">
        <v>6</v>
      </c>
    </row>
    <row r="15" customFormat="false" ht="15" hidden="false" customHeight="false" outlineLevel="0" collapsed="false">
      <c r="B15" s="3" t="s">
        <v>7</v>
      </c>
    </row>
    <row r="17" customFormat="false" ht="27.75" hidden="false" customHeight="true" outlineLevel="0" collapsed="false">
      <c r="B17" s="5" t="s">
        <v>8</v>
      </c>
    </row>
    <row r="18" customFormat="false" ht="30" hidden="false" customHeight="true" outlineLevel="0" collapsed="false">
      <c r="B18" s="6" t="s">
        <v>9</v>
      </c>
    </row>
    <row r="19" customFormat="false" ht="30" hidden="false" customHeight="true" outlineLevel="0" collapsed="false">
      <c r="B19" s="7" t="s">
        <v>10</v>
      </c>
    </row>
    <row r="20" customFormat="false" ht="30" hidden="false" customHeight="true" outlineLevel="0" collapsed="false">
      <c r="B20" s="6" t="s">
        <v>11</v>
      </c>
    </row>
    <row r="21" customFormat="false" ht="30" hidden="false" customHeight="true" outlineLevel="0" collapsed="false">
      <c r="B21" s="7" t="s">
        <v>12</v>
      </c>
    </row>
    <row r="22" customFormat="false" ht="30" hidden="false" customHeight="true" outlineLevel="0" collapsed="false">
      <c r="B22" s="6" t="s">
        <v>13</v>
      </c>
    </row>
    <row r="24" customFormat="false" ht="23.85" hidden="false" customHeight="false" outlineLevel="0" collapsed="false">
      <c r="B24" s="8" t="s">
        <v>14</v>
      </c>
    </row>
    <row r="26" customFormat="false" ht="15" hidden="false" customHeight="false" outlineLevel="0" collapsed="false">
      <c r="B26" s="4" t="s">
        <v>15</v>
      </c>
    </row>
    <row r="28" customFormat="false" ht="15" hidden="false" customHeight="false" outlineLevel="0" collapsed="false">
      <c r="B28" s="3" t="s">
        <v>16</v>
      </c>
    </row>
    <row r="30" customFormat="false" ht="25.5" hidden="false" customHeight="true" outlineLevel="0" collapsed="false">
      <c r="B30" s="9" t="s">
        <v>17</v>
      </c>
    </row>
    <row r="31" customFormat="false" ht="25.5" hidden="false" customHeight="true" outlineLevel="0" collapsed="false">
      <c r="B31" s="9" t="s">
        <v>18</v>
      </c>
    </row>
    <row r="32" customFormat="false" ht="25.5" hidden="false" customHeight="true" outlineLevel="0" collapsed="false">
      <c r="B32" s="9" t="s">
        <v>19</v>
      </c>
    </row>
    <row r="33" customFormat="false" ht="25.5" hidden="false" customHeight="true" outlineLevel="0" collapsed="false">
      <c r="B33" s="9" t="s">
        <v>20</v>
      </c>
    </row>
    <row r="34" customFormat="false" ht="25.5" hidden="false" customHeight="true" outlineLevel="0" collapsed="false">
      <c r="B34" s="9" t="s">
        <v>21</v>
      </c>
    </row>
    <row r="36" customFormat="false" ht="15" hidden="false" customHeight="false" outlineLevel="0" collapsed="false">
      <c r="B36" s="1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1" t="s">
        <v>23</v>
      </c>
      <c r="B1" s="11"/>
      <c r="C1" s="11"/>
      <c r="D1" s="11"/>
      <c r="E1" s="11"/>
    </row>
    <row r="2" customFormat="false" ht="27.75" hidden="false" customHeight="true" outlineLevel="0" collapsed="false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</row>
    <row r="3" customFormat="false" ht="21.75" hidden="false" customHeight="true" outlineLevel="0" collapsed="false">
      <c r="A3" s="12" t="s">
        <v>29</v>
      </c>
      <c r="B3" s="12"/>
      <c r="C3" s="12"/>
      <c r="D3" s="12"/>
      <c r="E3" s="12"/>
    </row>
    <row r="4" customFormat="false" ht="42" hidden="false" customHeight="true" outlineLevel="0" collapsed="false">
      <c r="A4" s="13" t="s">
        <v>30</v>
      </c>
      <c r="B4" s="9" t="s">
        <v>31</v>
      </c>
      <c r="C4" s="14" t="s">
        <v>32</v>
      </c>
      <c r="D4" s="15"/>
      <c r="E4" s="16"/>
    </row>
    <row r="5" customFormat="false" ht="42" hidden="false" customHeight="true" outlineLevel="0" collapsed="false">
      <c r="A5" s="13" t="s">
        <v>33</v>
      </c>
      <c r="B5" s="9" t="s">
        <v>34</v>
      </c>
      <c r="C5" s="14" t="s">
        <v>35</v>
      </c>
      <c r="D5" s="15"/>
      <c r="E5" s="16"/>
    </row>
    <row r="6" customFormat="false" ht="42" hidden="false" customHeight="true" outlineLevel="0" collapsed="false">
      <c r="A6" s="13" t="s">
        <v>36</v>
      </c>
      <c r="B6" s="9" t="s">
        <v>37</v>
      </c>
      <c r="C6" s="14" t="s">
        <v>38</v>
      </c>
      <c r="D6" s="15"/>
      <c r="E6" s="16"/>
    </row>
    <row r="7" customFormat="false" ht="42" hidden="false" customHeight="true" outlineLevel="0" collapsed="false">
      <c r="A7" s="13" t="s">
        <v>39</v>
      </c>
      <c r="B7" s="9" t="s">
        <v>40</v>
      </c>
      <c r="C7" s="14" t="s">
        <v>41</v>
      </c>
      <c r="D7" s="15"/>
      <c r="E7" s="16"/>
    </row>
    <row r="8" customFormat="false" ht="42" hidden="false" customHeight="true" outlineLevel="0" collapsed="false">
      <c r="A8" s="13" t="s">
        <v>42</v>
      </c>
      <c r="B8" s="9" t="s">
        <v>43</v>
      </c>
      <c r="C8" s="14" t="s">
        <v>44</v>
      </c>
      <c r="D8" s="15"/>
      <c r="E8" s="16"/>
    </row>
    <row r="10" customFormat="false" ht="21.75" hidden="false" customHeight="true" outlineLevel="0" collapsed="false">
      <c r="A10" s="12" t="s">
        <v>45</v>
      </c>
      <c r="B10" s="12"/>
      <c r="C10" s="12"/>
      <c r="D10" s="12"/>
      <c r="E10" s="12"/>
    </row>
    <row r="11" customFormat="false" ht="42" hidden="false" customHeight="true" outlineLevel="0" collapsed="false">
      <c r="A11" s="13" t="s">
        <v>46</v>
      </c>
      <c r="B11" s="9" t="s">
        <v>47</v>
      </c>
      <c r="C11" s="14" t="s">
        <v>48</v>
      </c>
      <c r="D11" s="15"/>
      <c r="E11" s="16"/>
    </row>
    <row r="12" customFormat="false" ht="42" hidden="false" customHeight="true" outlineLevel="0" collapsed="false">
      <c r="A12" s="13" t="s">
        <v>49</v>
      </c>
      <c r="B12" s="9" t="s">
        <v>50</v>
      </c>
      <c r="C12" s="14" t="s">
        <v>51</v>
      </c>
      <c r="D12" s="15"/>
      <c r="E12" s="16"/>
    </row>
    <row r="13" customFormat="false" ht="42" hidden="false" customHeight="true" outlineLevel="0" collapsed="false">
      <c r="A13" s="13" t="s">
        <v>52</v>
      </c>
      <c r="B13" s="9" t="s">
        <v>53</v>
      </c>
      <c r="C13" s="14" t="s">
        <v>54</v>
      </c>
      <c r="D13" s="15"/>
      <c r="E13" s="16"/>
    </row>
    <row r="14" customFormat="false" ht="42" hidden="false" customHeight="true" outlineLevel="0" collapsed="false">
      <c r="A14" s="13" t="s">
        <v>55</v>
      </c>
      <c r="B14" s="9" t="s">
        <v>56</v>
      </c>
      <c r="C14" s="14" t="s">
        <v>57</v>
      </c>
      <c r="D14" s="15"/>
      <c r="E14" s="16"/>
    </row>
    <row r="15" customFormat="false" ht="42" hidden="false" customHeight="true" outlineLevel="0" collapsed="false">
      <c r="A15" s="13" t="s">
        <v>58</v>
      </c>
      <c r="B15" s="9" t="s">
        <v>59</v>
      </c>
      <c r="C15" s="14" t="s">
        <v>60</v>
      </c>
      <c r="D15" s="15"/>
      <c r="E15" s="16"/>
    </row>
    <row r="17" customFormat="false" ht="21.75" hidden="false" customHeight="true" outlineLevel="0" collapsed="false">
      <c r="A17" s="12" t="s">
        <v>61</v>
      </c>
      <c r="B17" s="12"/>
      <c r="C17" s="12"/>
      <c r="D17" s="12"/>
      <c r="E17" s="12"/>
    </row>
    <row r="18" customFormat="false" ht="42" hidden="false" customHeight="true" outlineLevel="0" collapsed="false">
      <c r="A18" s="13" t="s">
        <v>62</v>
      </c>
      <c r="B18" s="9" t="s">
        <v>63</v>
      </c>
      <c r="C18" s="14" t="s">
        <v>64</v>
      </c>
      <c r="D18" s="15"/>
      <c r="E18" s="16"/>
    </row>
    <row r="19" customFormat="false" ht="42" hidden="false" customHeight="true" outlineLevel="0" collapsed="false">
      <c r="A19" s="13" t="s">
        <v>65</v>
      </c>
      <c r="B19" s="9" t="s">
        <v>66</v>
      </c>
      <c r="C19" s="14" t="s">
        <v>67</v>
      </c>
      <c r="D19" s="15"/>
      <c r="E19" s="16"/>
    </row>
    <row r="20" customFormat="false" ht="42" hidden="false" customHeight="true" outlineLevel="0" collapsed="false">
      <c r="A20" s="13" t="s">
        <v>68</v>
      </c>
      <c r="B20" s="9" t="s">
        <v>69</v>
      </c>
      <c r="C20" s="14" t="s">
        <v>70</v>
      </c>
      <c r="D20" s="15"/>
      <c r="E20" s="16"/>
    </row>
    <row r="21" customFormat="false" ht="42" hidden="false" customHeight="true" outlineLevel="0" collapsed="false">
      <c r="A21" s="13" t="s">
        <v>71</v>
      </c>
      <c r="B21" s="9" t="s">
        <v>72</v>
      </c>
      <c r="C21" s="14" t="s">
        <v>73</v>
      </c>
      <c r="D21" s="15"/>
      <c r="E21" s="16"/>
    </row>
    <row r="22" customFormat="false" ht="42" hidden="false" customHeight="true" outlineLevel="0" collapsed="false">
      <c r="A22" s="13" t="s">
        <v>74</v>
      </c>
      <c r="B22" s="9" t="s">
        <v>75</v>
      </c>
      <c r="C22" s="14" t="s">
        <v>76</v>
      </c>
      <c r="D22" s="15"/>
      <c r="E22" s="16"/>
    </row>
    <row r="24" customFormat="false" ht="21.75" hidden="false" customHeight="true" outlineLevel="0" collapsed="false">
      <c r="A24" s="12" t="s">
        <v>77</v>
      </c>
      <c r="B24" s="12"/>
      <c r="C24" s="12"/>
      <c r="D24" s="12"/>
      <c r="E24" s="12"/>
    </row>
    <row r="25" customFormat="false" ht="42" hidden="false" customHeight="true" outlineLevel="0" collapsed="false">
      <c r="A25" s="13" t="s">
        <v>78</v>
      </c>
      <c r="B25" s="9" t="s">
        <v>79</v>
      </c>
      <c r="C25" s="14" t="s">
        <v>80</v>
      </c>
      <c r="D25" s="15"/>
      <c r="E25" s="16"/>
    </row>
    <row r="26" customFormat="false" ht="42" hidden="false" customHeight="true" outlineLevel="0" collapsed="false">
      <c r="A26" s="13" t="s">
        <v>81</v>
      </c>
      <c r="B26" s="9" t="s">
        <v>82</v>
      </c>
      <c r="C26" s="14" t="s">
        <v>83</v>
      </c>
      <c r="D26" s="15"/>
      <c r="E26" s="16"/>
    </row>
    <row r="27" customFormat="false" ht="42" hidden="false" customHeight="true" outlineLevel="0" collapsed="false">
      <c r="A27" s="13" t="s">
        <v>84</v>
      </c>
      <c r="B27" s="9" t="s">
        <v>85</v>
      </c>
      <c r="C27" s="14" t="s">
        <v>86</v>
      </c>
      <c r="D27" s="15"/>
      <c r="E27" s="16"/>
    </row>
    <row r="28" customFormat="false" ht="42" hidden="false" customHeight="true" outlineLevel="0" collapsed="false">
      <c r="A28" s="13" t="s">
        <v>87</v>
      </c>
      <c r="B28" s="9" t="s">
        <v>88</v>
      </c>
      <c r="C28" s="14" t="s">
        <v>89</v>
      </c>
      <c r="D28" s="15"/>
      <c r="E28" s="16"/>
    </row>
    <row r="29" customFormat="false" ht="42" hidden="false" customHeight="true" outlineLevel="0" collapsed="false">
      <c r="A29" s="13" t="s">
        <v>90</v>
      </c>
      <c r="B29" s="9" t="s">
        <v>91</v>
      </c>
      <c r="C29" s="14" t="s">
        <v>92</v>
      </c>
      <c r="D29" s="15"/>
      <c r="E29" s="16"/>
    </row>
    <row r="31" customFormat="false" ht="21.75" hidden="false" customHeight="true" outlineLevel="0" collapsed="false">
      <c r="A31" s="12" t="s">
        <v>93</v>
      </c>
      <c r="B31" s="12"/>
      <c r="C31" s="12"/>
      <c r="D31" s="12"/>
      <c r="E31" s="12"/>
    </row>
    <row r="32" customFormat="false" ht="42" hidden="false" customHeight="true" outlineLevel="0" collapsed="false">
      <c r="A32" s="13" t="s">
        <v>94</v>
      </c>
      <c r="B32" s="9" t="s">
        <v>95</v>
      </c>
      <c r="C32" s="14" t="s">
        <v>96</v>
      </c>
      <c r="D32" s="15"/>
      <c r="E32" s="16"/>
    </row>
    <row r="33" customFormat="false" ht="42" hidden="false" customHeight="true" outlineLevel="0" collapsed="false">
      <c r="A33" s="13" t="s">
        <v>97</v>
      </c>
      <c r="B33" s="9" t="s">
        <v>98</v>
      </c>
      <c r="C33" s="14" t="s">
        <v>99</v>
      </c>
      <c r="D33" s="15"/>
      <c r="E33" s="16"/>
    </row>
    <row r="34" customFormat="false" ht="42" hidden="false" customHeight="true" outlineLevel="0" collapsed="false">
      <c r="A34" s="13" t="s">
        <v>100</v>
      </c>
      <c r="B34" s="9" t="s">
        <v>101</v>
      </c>
      <c r="C34" s="14" t="s">
        <v>102</v>
      </c>
      <c r="D34" s="15"/>
      <c r="E34" s="16"/>
    </row>
    <row r="35" customFormat="false" ht="42" hidden="false" customHeight="true" outlineLevel="0" collapsed="false">
      <c r="A35" s="13" t="s">
        <v>103</v>
      </c>
      <c r="B35" s="9" t="s">
        <v>104</v>
      </c>
      <c r="C35" s="14" t="s">
        <v>105</v>
      </c>
      <c r="D35" s="15"/>
      <c r="E35" s="16"/>
    </row>
    <row r="36" customFormat="false" ht="42" hidden="false" customHeight="true" outlineLevel="0" collapsed="false">
      <c r="A36" s="13" t="s">
        <v>106</v>
      </c>
      <c r="B36" s="9" t="s">
        <v>107</v>
      </c>
      <c r="C36" s="14" t="s">
        <v>108</v>
      </c>
      <c r="D36" s="15"/>
      <c r="E36" s="16"/>
    </row>
    <row r="38" customFormat="false" ht="15" hidden="false" customHeight="false" outlineLevel="0" collapsed="false">
      <c r="B38" s="17" t="s">
        <v>109</v>
      </c>
    </row>
    <row r="39" customFormat="false" ht="33.75" hidden="false" customHeight="true" outlineLevel="0" collapsed="false">
      <c r="A39" s="18" t="s">
        <v>30</v>
      </c>
      <c r="B39" s="19" t="s">
        <v>31</v>
      </c>
      <c r="C39" s="20" t="s">
        <v>110</v>
      </c>
      <c r="D39" s="21" t="n">
        <v>1</v>
      </c>
      <c r="E39" s="20" t="s">
        <v>111</v>
      </c>
    </row>
  </sheetData>
  <mergeCells count="6">
    <mergeCell ref="A1:E1"/>
    <mergeCell ref="A3:E3"/>
    <mergeCell ref="A10:E10"/>
    <mergeCell ref="A17:E17"/>
    <mergeCell ref="A24:E24"/>
    <mergeCell ref="A31:E31"/>
  </mergeCells>
  <dataValidations count="1">
    <dataValidation allowBlank="true" error="Enter a whole number 0-4, or NA if the indicator does not apply." errorStyle="stop" errorTitle="Invalid score" operator="between" showDropDown="false" showErrorMessage="true" showInputMessage="false" sqref="D4:D8 D11:D15 D18:D22 D25:D29 D32:D36" type="list">
      <formula1>"0,1,2,3,4,NA"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52"/>
  </cols>
  <sheetData>
    <row r="2" customFormat="false" ht="19.7" hidden="false" customHeight="false" outlineLevel="0" collapsed="false">
      <c r="B2" s="1" t="s">
        <v>112</v>
      </c>
    </row>
    <row r="3" customFormat="false" ht="15" hidden="false" customHeight="false" outlineLevel="0" collapsed="false">
      <c r="B3" s="22" t="s">
        <v>113</v>
      </c>
      <c r="C3" s="16"/>
    </row>
    <row r="4" customFormat="false" ht="15" hidden="false" customHeight="false" outlineLevel="0" collapsed="false">
      <c r="B4" s="22" t="s">
        <v>114</v>
      </c>
      <c r="C4" s="16"/>
    </row>
    <row r="6" customFormat="false" ht="27.75" hidden="false" customHeight="true" outlineLevel="0" collapsed="false">
      <c r="B6" s="5" t="s">
        <v>115</v>
      </c>
      <c r="C6" s="5" t="s">
        <v>27</v>
      </c>
      <c r="D6" s="5" t="s">
        <v>116</v>
      </c>
    </row>
    <row r="7" customFormat="false" ht="25.5" hidden="false" customHeight="true" outlineLevel="0" collapsed="false">
      <c r="B7" s="13" t="s">
        <v>29</v>
      </c>
      <c r="C7" s="23" t="str">
        <f aca="false">IFERROR(ROUND(AVERAGE(Assessment!D4,Assessment!D5,Assessment!D6,Assessment!D7,Assessment!D8),2),"")</f>
        <v/>
      </c>
      <c r="D7" s="24" t="str">
        <f aca="false">IF(C7="","Not yet scored",IF(C7&lt;1,"Ad Hoc — practice absent or individual-dependent",IF(C7&lt;2,"Emerging — inconsistent and undocumented",IF(C7&lt;3,"Defined — documented but not verified",IF(C7&lt;3.5,"Managed — operating and verified","Optimized — enforced and reviewed")))))</f>
        <v>Not yet scored</v>
      </c>
    </row>
    <row r="8" customFormat="false" ht="25.5" hidden="false" customHeight="true" outlineLevel="0" collapsed="false">
      <c r="B8" s="13" t="s">
        <v>45</v>
      </c>
      <c r="C8" s="23" t="str">
        <f aca="false">IFERROR(ROUND(AVERAGE(Assessment!D11,Assessment!D12,Assessment!D13,Assessment!D14,Assessment!D15),2),"")</f>
        <v/>
      </c>
      <c r="D8" s="24" t="str">
        <f aca="false">IF(C8="","Not yet scored",IF(C8&lt;1,"Ad Hoc — practice absent or individual-dependent",IF(C8&lt;2,"Emerging — inconsistent and undocumented",IF(C8&lt;3,"Defined — documented but not verified",IF(C8&lt;3.5,"Managed — operating and verified","Optimized — enforced and reviewed")))))</f>
        <v>Not yet scored</v>
      </c>
    </row>
    <row r="9" customFormat="false" ht="25.5" hidden="false" customHeight="true" outlineLevel="0" collapsed="false">
      <c r="B9" s="13" t="s">
        <v>61</v>
      </c>
      <c r="C9" s="23" t="str">
        <f aca="false">IFERROR(ROUND(AVERAGE(Assessment!D18,Assessment!D19,Assessment!D20,Assessment!D21,Assessment!D22),2),"")</f>
        <v/>
      </c>
      <c r="D9" s="24" t="str">
        <f aca="false">IF(C9="","Not yet scored",IF(C9&lt;1,"Ad Hoc — practice absent or individual-dependent",IF(C9&lt;2,"Emerging — inconsistent and undocumented",IF(C9&lt;3,"Defined — documented but not verified",IF(C9&lt;3.5,"Managed — operating and verified","Optimized — enforced and reviewed")))))</f>
        <v>Not yet scored</v>
      </c>
    </row>
    <row r="10" customFormat="false" ht="25.5" hidden="false" customHeight="true" outlineLevel="0" collapsed="false">
      <c r="B10" s="13" t="s">
        <v>77</v>
      </c>
      <c r="C10" s="23" t="str">
        <f aca="false">IFERROR(ROUND(AVERAGE(Assessment!D25,Assessment!D26,Assessment!D27,Assessment!D28,Assessment!D29),2),"")</f>
        <v/>
      </c>
      <c r="D10" s="24" t="str">
        <f aca="false">IF(C10="","Not yet scored",IF(C10&lt;1,"Ad Hoc — practice absent or individual-dependent",IF(C10&lt;2,"Emerging — inconsistent and undocumented",IF(C10&lt;3,"Defined — documented but not verified",IF(C10&lt;3.5,"Managed — operating and verified","Optimized — enforced and reviewed")))))</f>
        <v>Not yet scored</v>
      </c>
    </row>
    <row r="11" customFormat="false" ht="25.5" hidden="false" customHeight="true" outlineLevel="0" collapsed="false">
      <c r="B11" s="13" t="s">
        <v>93</v>
      </c>
      <c r="C11" s="23" t="str">
        <f aca="false">IFERROR(ROUND(AVERAGE(Assessment!D32,Assessment!D33,Assessment!D34,Assessment!D35,Assessment!D36),2),"")</f>
        <v/>
      </c>
      <c r="D11" s="24" t="str">
        <f aca="false">IF(C11="","Not yet scored",IF(C11&lt;1,"Ad Hoc — practice absent or individual-dependent",IF(C11&lt;2,"Emerging — inconsistent and undocumented",IF(C11&lt;3,"Defined — documented but not verified",IF(C11&lt;3.5,"Managed — operating and verified","Optimized — enforced and reviewed")))))</f>
        <v>Not yet scored</v>
      </c>
    </row>
    <row r="13" customFormat="false" ht="31.5" hidden="false" customHeight="true" outlineLevel="0" collapsed="false">
      <c r="B13" s="25" t="s">
        <v>117</v>
      </c>
      <c r="C13" s="26" t="str">
        <f aca="false">IFERROR(ROUND(AVERAGE(C7,C8,C9,C10,C11),2),"")</f>
        <v/>
      </c>
      <c r="D13" s="27" t="str">
        <f aca="false">IF(C13="","Complete the Assessment tab",IF(C13&lt;1,"AD HOC",IF(C13&lt;2,"EMERGING",IF(C13&lt;3,"DEFINED",IF(C13&lt;3.5,"MANAGED","OPTIMIZED")))))</f>
        <v>Complete the Assessment tab</v>
      </c>
    </row>
    <row r="15" customFormat="false" ht="15" hidden="false" customHeight="false" outlineLevel="0" collapsed="false">
      <c r="B15" s="22" t="s">
        <v>118</v>
      </c>
      <c r="D15" s="28" t="str">
        <f aca="false">IF(COUNT(C7:C11)=0,"",INDEX(B7:B11,MATCH(MIN(C7:C11),C7:C11,0)))</f>
        <v/>
      </c>
    </row>
    <row r="17" customFormat="false" ht="15" hidden="false" customHeight="true" outlineLevel="0" collapsed="false">
      <c r="B17" s="29" t="s">
        <v>119</v>
      </c>
      <c r="C17" s="29"/>
      <c r="D17" s="29"/>
    </row>
    <row r="18" customFormat="false" ht="15" hidden="false" customHeight="false" outlineLevel="0" collapsed="false">
      <c r="B18" s="29"/>
      <c r="C18" s="29"/>
      <c r="D18" s="29"/>
    </row>
    <row r="20" customFormat="false" ht="15" hidden="false" customHeight="true" outlineLevel="0" collapsed="false">
      <c r="B20" s="29" t="s">
        <v>120</v>
      </c>
      <c r="C20" s="29"/>
      <c r="D20" s="29"/>
    </row>
    <row r="21" customFormat="false" ht="15" hidden="false" customHeight="false" outlineLevel="0" collapsed="false">
      <c r="B21" s="29"/>
      <c r="C21" s="29"/>
      <c r="D21" s="29"/>
    </row>
  </sheetData>
  <mergeCells count="2">
    <mergeCell ref="B17:D18"/>
    <mergeCell ref="B20:D21"/>
  </mergeCells>
  <conditionalFormatting sqref="C7:C11">
    <cfRule type="cellIs" priority="2" operator="lessThan" aboveAverage="0" equalAverage="0" bottom="0" percent="0" rank="0" text="" dxfId="0">
      <formula>2</formula>
    </cfRule>
    <cfRule type="cellIs" priority="3" operator="between" aboveAverage="0" equalAverage="0" bottom="0" percent="0" rank="0" text="" dxfId="1">
      <formula>2</formula>
      <formula>2.99</formula>
    </cfRule>
    <cfRule type="cellIs" priority="4" operator="greaterThanOrEqual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2026-09-09T21:45:50Z</dcterms:created>
  <dc:creator>openpyxl</dc:creator>
  <dc:description/>
  <dc:language>en-US</dc:language>
  <cp:lastModifiedBy/>
  <dcterms:modified xsi:type="dcterms:W3CDTF">2026-09-09T21:45:50Z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